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farber/Documents/Spring 2022/Data Visualization/"/>
    </mc:Choice>
  </mc:AlternateContent>
  <xr:revisionPtr revIDLastSave="0" documentId="13_ncr:1_{47920435-F5E3-A748-9A5A-07CC2E4852C7}" xr6:coauthVersionLast="47" xr6:coauthVersionMax="47" xr10:uidLastSave="{00000000-0000-0000-0000-000000000000}"/>
  <bookViews>
    <workbookView xWindow="0" yWindow="500" windowWidth="26180" windowHeight="15880" activeTab="4" xr2:uid="{77B2706D-59C5-454B-B483-1B3C1C546FD4}"/>
  </bookViews>
  <sheets>
    <sheet name="HonorCode" sheetId="1" r:id="rId1"/>
    <sheet name="WDI" sheetId="2" r:id="rId2"/>
    <sheet name="WDI2" sheetId="4" r:id="rId3"/>
    <sheet name="Problem1" sheetId="7" r:id="rId4"/>
    <sheet name="Problem 2" sheetId="8" r:id="rId5"/>
    <sheet name="Problem 3" sheetId="9" r:id="rId6"/>
  </sheets>
  <definedNames>
    <definedName name="_xlnm._FilterDatabase" localSheetId="1" hidden="1">WDI!$A$1:$C$67</definedName>
    <definedName name="Country1">WDI!$B$2:$B$67</definedName>
    <definedName name="Country2">'WDI2'!$A$2:$A$12</definedName>
    <definedName name="Start2">'WDI2'!$A$1</definedName>
    <definedName name="Sums">WDI!$C$2:$C$67</definedName>
    <definedName name="Year1">WDI!$A$2:$A$67</definedName>
    <definedName name="Year2">'WDI2'!$B$1:$G$1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7" l="1"/>
  <c r="C10" i="7"/>
  <c r="C11" i="7"/>
  <c r="C12" i="7"/>
  <c r="C13" i="7"/>
  <c r="C14" i="7"/>
  <c r="C9" i="7"/>
  <c r="D10" i="7"/>
  <c r="D11" i="7"/>
  <c r="D12" i="7"/>
  <c r="D13" i="7"/>
  <c r="D14" i="7"/>
  <c r="D9" i="7"/>
</calcChain>
</file>

<file path=xl/sharedStrings.xml><?xml version="1.0" encoding="utf-8"?>
<sst xmlns="http://schemas.openxmlformats.org/spreadsheetml/2006/main" count="93" uniqueCount="21">
  <si>
    <t>Chile</t>
  </si>
  <si>
    <t>Lithuania</t>
  </si>
  <si>
    <t>Australia</t>
  </si>
  <si>
    <t>Germany</t>
  </si>
  <si>
    <t>Colombia</t>
  </si>
  <si>
    <t>Bolivia</t>
  </si>
  <si>
    <t>United States</t>
  </si>
  <si>
    <t>China</t>
  </si>
  <si>
    <t>Italy</t>
  </si>
  <si>
    <t>Serbia</t>
  </si>
  <si>
    <t>Denmark</t>
  </si>
  <si>
    <t>Year</t>
  </si>
  <si>
    <t>CountryName</t>
  </si>
  <si>
    <t>GDP per capita (constant 2010 US$)</t>
  </si>
  <si>
    <t>Country</t>
  </si>
  <si>
    <t>Satisfaction</t>
  </si>
  <si>
    <t>Ratings</t>
  </si>
  <si>
    <t>Section 2</t>
  </si>
  <si>
    <t>Country:</t>
  </si>
  <si>
    <t>GDP Per Capita</t>
  </si>
  <si>
    <t>Fertility rate, total (births per woman)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</si>
</sst>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ill="1"/>
    <xf numFmtId="0" fontId="0" fillId="0" borderId="0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0" fontId="2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Problem1!$B$2</c:f>
          <c:strCache>
            <c:ptCount val="1"/>
            <c:pt idx="0">
              <c:v>GDP Per Capita &amp; Fertility rate, total (births per woman) in United States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GDP Per Capita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Problem1!$B$9:$B$14</c:f>
              <c:numCache>
                <c:formatCode>General</c:formatCode>
                <c:ptCount val="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</c:numCache>
            </c:numRef>
          </c:cat>
          <c:val>
            <c:numRef>
              <c:f>Problem1!$C$9:$C$14</c:f>
              <c:numCache>
                <c:formatCode>"$"#,##0.00</c:formatCode>
                <c:ptCount val="6"/>
                <c:pt idx="0">
                  <c:v>44726.965397829001</c:v>
                </c:pt>
                <c:pt idx="1">
                  <c:v>44728.597475226998</c:v>
                </c:pt>
                <c:pt idx="2">
                  <c:v>45087.367278532001</c:v>
                </c:pt>
                <c:pt idx="3">
                  <c:v>45980.514584919001</c:v>
                </c:pt>
                <c:pt idx="4">
                  <c:v>47287.593772018001</c:v>
                </c:pt>
                <c:pt idx="5">
                  <c:v>48499.812376291004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AE-FF4A-ABE0-02AE70BC4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21434239"/>
        <c:axId val="932340159"/>
      </c:barChart>
      <c:lineChart>
        <c:grouping val="standard"/>
        <c:varyColors val="0"/>
        <c:ser>
          <c:idx val="1"/>
          <c:order val="1"/>
          <c:tx>
            <c:v>Fertility rate, total (births per woman)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Problem1!$D$9:$D$14</c:f>
              <c:numCache>
                <c:formatCode>0.00</c:formatCode>
                <c:ptCount val="6"/>
                <c:pt idx="0">
                  <c:v>2.056</c:v>
                </c:pt>
                <c:pt idx="1">
                  <c:v>2.0305</c:v>
                </c:pt>
                <c:pt idx="2">
                  <c:v>2.0205000000000002</c:v>
                </c:pt>
                <c:pt idx="3">
                  <c:v>2.0474999999999999</c:v>
                </c:pt>
                <c:pt idx="4">
                  <c:v>2.0514999999999999</c:v>
                </c:pt>
                <c:pt idx="5">
                  <c:v>2.0569999999999999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AE-FF4A-ABE0-02AE70BC4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8252703"/>
        <c:axId val="946685695"/>
      </c:lineChart>
      <c:catAx>
        <c:axId val="92143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340159"/>
        <c:crosses val="autoZero"/>
        <c:auto val="1"/>
        <c:lblAlgn val="ctr"/>
        <c:lblOffset val="100"/>
        <c:noMultiLvlLbl val="0"/>
      </c:catAx>
      <c:valAx>
        <c:axId val="932340159"/>
        <c:scaling>
          <c:orientation val="minMax"/>
          <c:max val="49000"/>
          <c:min val="4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1434239"/>
        <c:crosses val="autoZero"/>
        <c:crossBetween val="between"/>
      </c:valAx>
      <c:valAx>
        <c:axId val="946685695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252703"/>
        <c:crosses val="max"/>
        <c:crossBetween val="between"/>
      </c:valAx>
      <c:catAx>
        <c:axId val="1268252703"/>
        <c:scaling>
          <c:orientation val="minMax"/>
        </c:scaling>
        <c:delete val="1"/>
        <c:axPos val="b"/>
        <c:majorTickMark val="out"/>
        <c:minorTickMark val="none"/>
        <c:tickLblPos val="nextTo"/>
        <c:crossAx val="9466856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88900</xdr:colOff>
      <xdr:row>3</xdr:row>
      <xdr:rowOff>25400</xdr:rowOff>
    </xdr:from>
    <xdr:to>
      <xdr:col>8</xdr:col>
      <xdr:colOff>469900</xdr:colOff>
      <xdr:row>8</xdr:row>
      <xdr:rowOff>101600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8F2930D-ACE5-C948-A082-83998DBAFA0C}"/>
            </a:ext>
          </a:extLst>
        </xdr:cNvPr>
        <xdr:cNvSpPr txBox="1"/>
      </xdr:nvSpPr>
      <xdr:spPr>
        <a:xfrm>
          <a:off x="1435100" y="596900"/>
          <a:ext cx="4419600" cy="1028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a member of the William and Mary community, I pledge on my honor not to lie, cheat, or steal, either in my academic or personal life. I understand that such acts violate the Honor Code and undermine the community of trust, of which we are all stewards.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Matthew Farber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2</xdr:row>
      <xdr:rowOff>50800</xdr:rowOff>
    </xdr:from>
    <xdr:to>
      <xdr:col>11</xdr:col>
      <xdr:colOff>609600</xdr:colOff>
      <xdr:row>16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C49C21B-4A97-774B-A00C-3A2C361C80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393700</xdr:colOff>
          <xdr:row>3</xdr:row>
          <xdr:rowOff>88900</xdr:rowOff>
        </xdr:from>
        <xdr:to>
          <xdr:col>16</xdr:col>
          <xdr:colOff>571500</xdr:colOff>
          <xdr:row>3</xdr:row>
          <xdr:rowOff>469900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5EC42FE-62F0-8F4D-B23C-BA452EC7AA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Pattern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379186</xdr:colOff>
          <xdr:row>4</xdr:row>
          <xdr:rowOff>139700</xdr:rowOff>
        </xdr:from>
        <xdr:to>
          <xdr:col>16</xdr:col>
          <xdr:colOff>556986</xdr:colOff>
          <xdr:row>5</xdr:row>
          <xdr:rowOff>12700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AFF11D73-4BFF-A543-A067-78ADAD96AF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215900</xdr:colOff>
          <xdr:row>2</xdr:row>
          <xdr:rowOff>101600</xdr:rowOff>
        </xdr:from>
        <xdr:to>
          <xdr:col>7</xdr:col>
          <xdr:colOff>393700</xdr:colOff>
          <xdr:row>4</xdr:row>
          <xdr:rowOff>101600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E18F6ABA-79ED-E74F-AE5A-38BDF69A3B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Ratings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67E12-3B32-4D7F-BBED-5937EC025234}">
  <sheetPr codeName="Sheet2">
    <tabColor theme="9" tint="0.39997558519241921"/>
  </sheetPr>
  <dimension ref="A1"/>
  <sheetViews>
    <sheetView showGridLines="0" workbookViewId="0">
      <selection activeCell="G14" sqref="G14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7EF4A-D99E-4F4B-B61D-B46719AF1D06}">
  <sheetPr codeName="Sheet3">
    <tabColor theme="4" tint="0.39997558519241921"/>
  </sheetPr>
  <dimension ref="A1:XFD1048576"/>
  <sheetViews>
    <sheetView workbookViewId="0">
      <selection activeCell="A2" sqref="A2:A67"/>
    </sheetView>
  </sheetViews>
  <sheetFormatPr baseColWidth="10" defaultColWidth="8.83203125" defaultRowHeight="15" x14ac:dyDescent="0.2"/>
  <cols>
    <col min="1" max="1" width="4.83203125" bestFit="1" customWidth="1"/>
    <col min="2" max="2" width="12.33203125" bestFit="1" customWidth="1"/>
    <col min="3" max="3" width="30.5" bestFit="1" customWidth="1"/>
  </cols>
  <sheetData>
    <row r="1" spans="1:3" x14ac:dyDescent="0.2">
      <c r="A1" s="1" t="s">
        <v>11</v>
      </c>
      <c r="B1" s="1" t="s">
        <v>12</v>
      </c>
      <c r="C1" s="1" t="s">
        <v>13</v>
      </c>
    </row>
    <row r="2" spans="1:3" x14ac:dyDescent="0.2">
      <c r="A2" s="1">
        <v>2000</v>
      </c>
      <c r="B2" s="1" t="s">
        <v>6</v>
      </c>
      <c r="C2" s="1">
        <v>44726.965397829001</v>
      </c>
    </row>
    <row r="3" spans="1:3" x14ac:dyDescent="0.2">
      <c r="A3" s="1">
        <v>2001</v>
      </c>
      <c r="B3" s="1" t="s">
        <v>9</v>
      </c>
      <c r="C3" s="1">
        <v>3581.9742277370001</v>
      </c>
    </row>
    <row r="4" spans="1:3" x14ac:dyDescent="0.2">
      <c r="A4" s="1">
        <v>2003</v>
      </c>
      <c r="B4" s="1" t="s">
        <v>3</v>
      </c>
      <c r="C4" s="1">
        <v>38073.760665369999</v>
      </c>
    </row>
    <row r="5" spans="1:3" x14ac:dyDescent="0.2">
      <c r="A5" s="1">
        <v>2003</v>
      </c>
      <c r="B5" s="1" t="s">
        <v>4</v>
      </c>
      <c r="C5" s="1">
        <v>5026.2421548319999</v>
      </c>
    </row>
    <row r="6" spans="1:3" x14ac:dyDescent="0.2">
      <c r="A6" s="1">
        <v>2004</v>
      </c>
      <c r="B6" s="1" t="s">
        <v>7</v>
      </c>
      <c r="C6" s="1">
        <v>2467.132843334</v>
      </c>
    </row>
    <row r="7" spans="1:3" x14ac:dyDescent="0.2">
      <c r="A7" s="1">
        <v>2005</v>
      </c>
      <c r="B7" s="1" t="s">
        <v>2</v>
      </c>
      <c r="C7" s="1">
        <v>48813.887763077997</v>
      </c>
    </row>
    <row r="8" spans="1:3" x14ac:dyDescent="0.2">
      <c r="A8" s="1">
        <v>2004</v>
      </c>
      <c r="B8" s="1" t="s">
        <v>5</v>
      </c>
      <c r="C8" s="1">
        <v>1657.5051283509999</v>
      </c>
    </row>
    <row r="9" spans="1:3" x14ac:dyDescent="0.2">
      <c r="A9" s="1">
        <v>2001</v>
      </c>
      <c r="B9" s="1" t="s">
        <v>2</v>
      </c>
      <c r="C9" s="1">
        <v>44585.198516097</v>
      </c>
    </row>
    <row r="10" spans="1:3" x14ac:dyDescent="0.2">
      <c r="A10" s="1">
        <v>2002</v>
      </c>
      <c r="B10" s="1" t="s">
        <v>5</v>
      </c>
      <c r="C10" s="1">
        <v>1606.9046771549999</v>
      </c>
    </row>
    <row r="11" spans="1:3" x14ac:dyDescent="0.2">
      <c r="A11" s="1">
        <v>2000</v>
      </c>
      <c r="B11" s="1" t="s">
        <v>0</v>
      </c>
      <c r="C11" s="1">
        <v>9419.9829495590002</v>
      </c>
    </row>
    <row r="12" spans="1:3" x14ac:dyDescent="0.2">
      <c r="A12" s="1">
        <v>2004</v>
      </c>
      <c r="B12" s="1" t="s">
        <v>1</v>
      </c>
      <c r="C12" s="1">
        <v>9614.0825530010006</v>
      </c>
    </row>
    <row r="13" spans="1:3" x14ac:dyDescent="0.2">
      <c r="A13" s="1">
        <v>2002</v>
      </c>
      <c r="B13" s="1" t="s">
        <v>9</v>
      </c>
      <c r="C13" s="1">
        <v>3840.397101947</v>
      </c>
    </row>
    <row r="14" spans="1:3" x14ac:dyDescent="0.2">
      <c r="A14" s="1">
        <v>2003</v>
      </c>
      <c r="B14" s="1" t="s">
        <v>8</v>
      </c>
      <c r="C14" s="1">
        <v>36942.939382064003</v>
      </c>
    </row>
    <row r="15" spans="1:3" x14ac:dyDescent="0.2">
      <c r="A15" s="1">
        <v>2000</v>
      </c>
      <c r="B15" s="1" t="s">
        <v>8</v>
      </c>
      <c r="C15" s="1">
        <v>36329.248936880002</v>
      </c>
    </row>
    <row r="16" spans="1:3" x14ac:dyDescent="0.2">
      <c r="A16" s="1">
        <v>2002</v>
      </c>
      <c r="B16" s="1" t="s">
        <v>4</v>
      </c>
      <c r="C16" s="1">
        <v>4908.7301230749999</v>
      </c>
    </row>
    <row r="17" spans="1:3" x14ac:dyDescent="0.2">
      <c r="A17" s="1">
        <v>2000</v>
      </c>
      <c r="B17" s="1" t="s">
        <v>10</v>
      </c>
      <c r="C17" s="1">
        <v>55850.630769705</v>
      </c>
    </row>
    <row r="18" spans="1:3" x14ac:dyDescent="0.2">
      <c r="A18" s="1">
        <v>2002</v>
      </c>
      <c r="B18" s="1" t="s">
        <v>3</v>
      </c>
      <c r="C18" s="1">
        <v>38368.618329671001</v>
      </c>
    </row>
    <row r="19" spans="1:3" x14ac:dyDescent="0.2">
      <c r="A19" s="1">
        <v>2004</v>
      </c>
      <c r="B19" s="1" t="s">
        <v>3</v>
      </c>
      <c r="C19" s="1">
        <v>38535.170989279999</v>
      </c>
    </row>
    <row r="20" spans="1:3" x14ac:dyDescent="0.2">
      <c r="A20" s="1">
        <v>2005</v>
      </c>
      <c r="B20" s="1" t="s">
        <v>5</v>
      </c>
      <c r="C20" s="1">
        <v>1700.182790951</v>
      </c>
    </row>
    <row r="21" spans="1:3" x14ac:dyDescent="0.2">
      <c r="A21" s="1">
        <v>2005</v>
      </c>
      <c r="B21" s="1" t="s">
        <v>3</v>
      </c>
      <c r="C21" s="1">
        <v>38835.382368354003</v>
      </c>
    </row>
    <row r="22" spans="1:3" x14ac:dyDescent="0.2">
      <c r="A22" s="1">
        <v>2004</v>
      </c>
      <c r="B22" s="1" t="s">
        <v>8</v>
      </c>
      <c r="C22" s="1">
        <v>37227.147940092</v>
      </c>
    </row>
    <row r="23" spans="1:3" x14ac:dyDescent="0.2">
      <c r="A23" s="1">
        <v>2004</v>
      </c>
      <c r="B23" s="1" t="s">
        <v>4</v>
      </c>
      <c r="C23" s="1">
        <v>5219.7923309260004</v>
      </c>
    </row>
    <row r="24" spans="1:3" x14ac:dyDescent="0.2">
      <c r="A24" s="1">
        <v>2003</v>
      </c>
      <c r="B24" s="1" t="s">
        <v>1</v>
      </c>
      <c r="C24" s="1">
        <v>8922.3029483160008</v>
      </c>
    </row>
    <row r="25" spans="1:3" x14ac:dyDescent="0.2">
      <c r="A25" s="1">
        <v>2005</v>
      </c>
      <c r="B25" s="1" t="s">
        <v>7</v>
      </c>
      <c r="C25" s="1">
        <v>2732.1658796890001</v>
      </c>
    </row>
    <row r="26" spans="1:3" x14ac:dyDescent="0.2">
      <c r="A26" s="1">
        <v>2001</v>
      </c>
      <c r="B26" s="1" t="s">
        <v>7</v>
      </c>
      <c r="C26" s="1">
        <v>1901.407629752</v>
      </c>
    </row>
    <row r="27" spans="1:3" x14ac:dyDescent="0.2">
      <c r="A27" s="1">
        <v>2003</v>
      </c>
      <c r="B27" s="1" t="s">
        <v>6</v>
      </c>
      <c r="C27" s="1">
        <v>45980.514584919001</v>
      </c>
    </row>
    <row r="28" spans="1:3" x14ac:dyDescent="0.2">
      <c r="A28" s="1">
        <v>2001</v>
      </c>
      <c r="B28" s="1" t="s">
        <v>4</v>
      </c>
      <c r="C28" s="1">
        <v>4862.5015473479998</v>
      </c>
    </row>
    <row r="29" spans="1:3" x14ac:dyDescent="0.2">
      <c r="A29" s="1">
        <v>2002</v>
      </c>
      <c r="B29" s="1" t="s">
        <v>1</v>
      </c>
      <c r="C29" s="1">
        <v>8006.3664557740003</v>
      </c>
    </row>
    <row r="30" spans="1:3" x14ac:dyDescent="0.2">
      <c r="A30" s="1">
        <v>2004</v>
      </c>
      <c r="B30" s="1" t="s">
        <v>9</v>
      </c>
      <c r="C30" s="1">
        <v>4392.2775260139997</v>
      </c>
    </row>
    <row r="31" spans="1:3" x14ac:dyDescent="0.2">
      <c r="A31" s="1">
        <v>2000</v>
      </c>
      <c r="B31" s="1" t="s">
        <v>9</v>
      </c>
      <c r="C31" s="1">
        <v>3405.7795993579998</v>
      </c>
    </row>
    <row r="32" spans="1:3" x14ac:dyDescent="0.2">
      <c r="A32" s="1">
        <v>2001</v>
      </c>
      <c r="B32" s="1" t="s">
        <v>3</v>
      </c>
      <c r="C32" s="1">
        <v>38509.606906720001</v>
      </c>
    </row>
    <row r="33" spans="1:3" x14ac:dyDescent="0.2">
      <c r="A33" s="1">
        <v>2003</v>
      </c>
      <c r="B33" s="1" t="s">
        <v>5</v>
      </c>
      <c r="C33" s="1">
        <v>1620.2636639269999</v>
      </c>
    </row>
    <row r="34" spans="1:3" x14ac:dyDescent="0.2">
      <c r="A34" s="1">
        <v>2001</v>
      </c>
      <c r="B34" s="1" t="s">
        <v>6</v>
      </c>
      <c r="C34" s="1">
        <v>44728.597475226998</v>
      </c>
    </row>
    <row r="35" spans="1:3" x14ac:dyDescent="0.2">
      <c r="A35" s="1">
        <v>2004</v>
      </c>
      <c r="B35" s="1" t="s">
        <v>0</v>
      </c>
      <c r="C35" s="1">
        <v>10726.644849931999</v>
      </c>
    </row>
    <row r="36" spans="1:3" x14ac:dyDescent="0.2">
      <c r="A36" s="1">
        <v>2000</v>
      </c>
      <c r="B36" s="1" t="s">
        <v>4</v>
      </c>
      <c r="C36" s="1">
        <v>4857.8011523779996</v>
      </c>
    </row>
    <row r="37" spans="1:3" x14ac:dyDescent="0.2">
      <c r="A37" s="1">
        <v>2000</v>
      </c>
      <c r="B37" s="1" t="s">
        <v>1</v>
      </c>
      <c r="C37" s="1">
        <v>6926.4329837739997</v>
      </c>
    </row>
    <row r="38" spans="1:3" x14ac:dyDescent="0.2">
      <c r="A38" s="1">
        <v>2000</v>
      </c>
      <c r="B38" s="1" t="s">
        <v>7</v>
      </c>
      <c r="C38" s="1">
        <v>1767.8336270090001</v>
      </c>
    </row>
    <row r="39" spans="1:3" x14ac:dyDescent="0.2">
      <c r="A39" s="1">
        <v>2004</v>
      </c>
      <c r="B39" s="1" t="s">
        <v>6</v>
      </c>
      <c r="C39" s="1">
        <v>47287.593772018001</v>
      </c>
    </row>
    <row r="40" spans="1:3" x14ac:dyDescent="0.2">
      <c r="A40" s="1">
        <v>2001</v>
      </c>
      <c r="B40" s="1" t="s">
        <v>10</v>
      </c>
      <c r="C40" s="1">
        <v>56108.959103799003</v>
      </c>
    </row>
    <row r="41" spans="1:3" x14ac:dyDescent="0.2">
      <c r="A41" s="1">
        <v>2003</v>
      </c>
      <c r="B41" s="1" t="s">
        <v>10</v>
      </c>
      <c r="C41" s="1">
        <v>56256.755739166998</v>
      </c>
    </row>
    <row r="42" spans="1:3" x14ac:dyDescent="0.2">
      <c r="A42" s="1">
        <v>2002</v>
      </c>
      <c r="B42" s="1" t="s">
        <v>6</v>
      </c>
      <c r="C42" s="1">
        <v>45087.367278532001</v>
      </c>
    </row>
    <row r="43" spans="1:3" x14ac:dyDescent="0.2">
      <c r="A43" s="1">
        <v>2005</v>
      </c>
      <c r="B43" s="1" t="s">
        <v>8</v>
      </c>
      <c r="C43" s="1">
        <v>37347.635929014999</v>
      </c>
    </row>
    <row r="44" spans="1:3" x14ac:dyDescent="0.2">
      <c r="A44" s="1">
        <v>2005</v>
      </c>
      <c r="B44" s="1" t="s">
        <v>1</v>
      </c>
      <c r="C44" s="1">
        <v>10527.036125979001</v>
      </c>
    </row>
    <row r="45" spans="1:3" x14ac:dyDescent="0.2">
      <c r="A45" s="1">
        <v>2003</v>
      </c>
      <c r="B45" s="1" t="s">
        <v>9</v>
      </c>
      <c r="C45" s="1">
        <v>4018.5063389769998</v>
      </c>
    </row>
    <row r="46" spans="1:3" x14ac:dyDescent="0.2">
      <c r="A46" s="1">
        <v>2001</v>
      </c>
      <c r="B46" s="1" t="s">
        <v>8</v>
      </c>
      <c r="C46" s="1">
        <v>37017.369958128998</v>
      </c>
    </row>
    <row r="47" spans="1:3" x14ac:dyDescent="0.2">
      <c r="A47" s="1">
        <v>2000</v>
      </c>
      <c r="B47" s="1" t="s">
        <v>2</v>
      </c>
      <c r="C47" s="1">
        <v>44334.392934103998</v>
      </c>
    </row>
    <row r="48" spans="1:3" x14ac:dyDescent="0.2">
      <c r="A48" s="1">
        <v>2002</v>
      </c>
      <c r="B48" s="1" t="s">
        <v>8</v>
      </c>
      <c r="C48" s="1">
        <v>37056.149174830003</v>
      </c>
    </row>
    <row r="49" spans="1:3" x14ac:dyDescent="0.2">
      <c r="A49" s="1">
        <v>2005</v>
      </c>
      <c r="B49" s="1" t="s">
        <v>10</v>
      </c>
      <c r="C49" s="1">
        <v>58792.660457992002</v>
      </c>
    </row>
    <row r="50" spans="1:3" x14ac:dyDescent="0.2">
      <c r="A50" s="1">
        <v>2003</v>
      </c>
      <c r="B50" s="1" t="s">
        <v>0</v>
      </c>
      <c r="C50" s="1">
        <v>10109.668048432</v>
      </c>
    </row>
    <row r="51" spans="1:3" x14ac:dyDescent="0.2">
      <c r="A51" s="1">
        <v>2005</v>
      </c>
      <c r="B51" s="1" t="s">
        <v>0</v>
      </c>
      <c r="C51" s="1">
        <v>11225.079949475001</v>
      </c>
    </row>
    <row r="52" spans="1:3" x14ac:dyDescent="0.2">
      <c r="A52" s="1">
        <v>2002</v>
      </c>
      <c r="B52" s="1" t="s">
        <v>10</v>
      </c>
      <c r="C52" s="1">
        <v>56190.811248477003</v>
      </c>
    </row>
    <row r="53" spans="1:3" x14ac:dyDescent="0.2">
      <c r="A53" s="1">
        <v>2005</v>
      </c>
      <c r="B53" s="1" t="s">
        <v>9</v>
      </c>
      <c r="C53" s="1">
        <v>4852.8403812240003</v>
      </c>
    </row>
    <row r="54" spans="1:3" x14ac:dyDescent="0.2">
      <c r="A54" s="1">
        <v>2002</v>
      </c>
      <c r="B54" s="1" t="s">
        <v>7</v>
      </c>
      <c r="C54" s="1">
        <v>2061.1622837760001</v>
      </c>
    </row>
    <row r="55" spans="1:3" x14ac:dyDescent="0.2">
      <c r="A55" s="1">
        <v>2002</v>
      </c>
      <c r="B55" s="1" t="s">
        <v>0</v>
      </c>
      <c r="C55" s="1">
        <v>9814.6561349189997</v>
      </c>
    </row>
    <row r="56" spans="1:3" x14ac:dyDescent="0.2">
      <c r="A56" s="1">
        <v>2000</v>
      </c>
      <c r="B56" s="1" t="s">
        <v>3</v>
      </c>
      <c r="C56" s="1">
        <v>37930.486214219003</v>
      </c>
    </row>
    <row r="57" spans="1:3" x14ac:dyDescent="0.2">
      <c r="A57" s="1">
        <v>2001</v>
      </c>
      <c r="B57" s="1" t="s">
        <v>1</v>
      </c>
      <c r="C57" s="1">
        <v>7439.3926759030001</v>
      </c>
    </row>
    <row r="58" spans="1:3" x14ac:dyDescent="0.2">
      <c r="A58" s="1">
        <v>2001</v>
      </c>
      <c r="B58" s="1" t="s">
        <v>0</v>
      </c>
      <c r="C58" s="1">
        <v>9622.1536287130002</v>
      </c>
    </row>
    <row r="59" spans="1:3" x14ac:dyDescent="0.2">
      <c r="A59" s="1">
        <v>2003</v>
      </c>
      <c r="B59" s="1" t="s">
        <v>7</v>
      </c>
      <c r="C59" s="1">
        <v>2253.9296885799999</v>
      </c>
    </row>
    <row r="60" spans="1:3" x14ac:dyDescent="0.2">
      <c r="A60" s="1">
        <v>2000</v>
      </c>
      <c r="B60" s="1" t="s">
        <v>5</v>
      </c>
      <c r="C60" s="1">
        <v>1601.416658121</v>
      </c>
    </row>
    <row r="61" spans="1:3" x14ac:dyDescent="0.2">
      <c r="A61" s="1">
        <v>2005</v>
      </c>
      <c r="B61" s="1" t="s">
        <v>6</v>
      </c>
      <c r="C61" s="1">
        <v>48499.812376291004</v>
      </c>
    </row>
    <row r="62" spans="1:3" x14ac:dyDescent="0.2">
      <c r="A62" s="1">
        <v>2003</v>
      </c>
      <c r="B62" s="1" t="s">
        <v>2</v>
      </c>
      <c r="C62" s="1">
        <v>46595.900919535001</v>
      </c>
    </row>
    <row r="63" spans="1:3" x14ac:dyDescent="0.2">
      <c r="A63" s="1">
        <v>2004</v>
      </c>
      <c r="B63" s="1" t="s">
        <v>2</v>
      </c>
      <c r="C63" s="1">
        <v>47926.748661140999</v>
      </c>
    </row>
    <row r="64" spans="1:3" x14ac:dyDescent="0.2">
      <c r="A64" s="1">
        <v>2001</v>
      </c>
      <c r="B64" s="1" t="s">
        <v>5</v>
      </c>
      <c r="C64" s="1">
        <v>1597.6420112129999</v>
      </c>
    </row>
    <row r="65" spans="1:3" x14ac:dyDescent="0.2">
      <c r="A65" s="1">
        <v>2002</v>
      </c>
      <c r="B65" s="1" t="s">
        <v>2</v>
      </c>
      <c r="C65" s="1">
        <v>45806.694474707001</v>
      </c>
    </row>
    <row r="66" spans="1:3" x14ac:dyDescent="0.2">
      <c r="A66" s="1">
        <v>2004</v>
      </c>
      <c r="B66" s="1" t="s">
        <v>10</v>
      </c>
      <c r="C66" s="1">
        <v>57608.737231558996</v>
      </c>
    </row>
    <row r="67" spans="1:3" x14ac:dyDescent="0.2">
      <c r="A67" s="1">
        <v>2005</v>
      </c>
      <c r="B67" s="1" t="s">
        <v>4</v>
      </c>
      <c r="C67" s="1">
        <v>5392.1905786079997</v>
      </c>
    </row>
    <row r="1048576" spans="16384:16384" x14ac:dyDescent="0.2">
      <c r="XFD1048576" s="5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5D0-247D-46C1-9B9E-33C18926F95A}">
  <sheetPr codeName="Sheet4">
    <tabColor theme="4" tint="0.39997558519241921"/>
  </sheetPr>
  <dimension ref="A1:XFD1048576"/>
  <sheetViews>
    <sheetView workbookViewId="0">
      <selection activeCell="B15" sqref="B15"/>
    </sheetView>
  </sheetViews>
  <sheetFormatPr baseColWidth="10" defaultColWidth="8.83203125" defaultRowHeight="15" x14ac:dyDescent="0.2"/>
  <cols>
    <col min="1" max="2" width="11.83203125" bestFit="1" customWidth="1"/>
  </cols>
  <sheetData>
    <row r="1" spans="1:7" x14ac:dyDescent="0.2">
      <c r="A1" s="1" t="s">
        <v>14</v>
      </c>
      <c r="B1" s="1">
        <v>2000</v>
      </c>
      <c r="C1" s="1">
        <v>2001</v>
      </c>
      <c r="D1" s="1">
        <v>2002</v>
      </c>
      <c r="E1" s="1">
        <v>2003</v>
      </c>
      <c r="F1" s="1">
        <v>2004</v>
      </c>
      <c r="G1" s="1">
        <v>2005</v>
      </c>
    </row>
    <row r="2" spans="1:7" x14ac:dyDescent="0.2">
      <c r="A2" s="1" t="s">
        <v>2</v>
      </c>
      <c r="B2" s="1">
        <v>1.756</v>
      </c>
      <c r="C2" s="1">
        <v>1.7390000000000001</v>
      </c>
      <c r="D2" s="1">
        <v>1.756</v>
      </c>
      <c r="E2" s="1">
        <v>1.748</v>
      </c>
      <c r="F2" s="1">
        <v>1.768</v>
      </c>
      <c r="G2" s="1">
        <v>1.8069999999999999</v>
      </c>
    </row>
    <row r="3" spans="1:7" x14ac:dyDescent="0.2">
      <c r="A3" s="1" t="s">
        <v>5</v>
      </c>
      <c r="B3" s="1">
        <v>4.0510000000000002</v>
      </c>
      <c r="C3" s="1">
        <v>3.9689999999999999</v>
      </c>
      <c r="D3" s="1">
        <v>3.8849999999999998</v>
      </c>
      <c r="E3" s="1">
        <v>3.798</v>
      </c>
      <c r="F3" s="1">
        <v>3.71</v>
      </c>
      <c r="G3" s="1">
        <v>3.621</v>
      </c>
    </row>
    <row r="4" spans="1:7" x14ac:dyDescent="0.2">
      <c r="A4" s="1" t="s">
        <v>0</v>
      </c>
      <c r="B4" s="1">
        <v>2.0550000000000002</v>
      </c>
      <c r="C4" s="1">
        <v>2.0089999999999999</v>
      </c>
      <c r="D4" s="1">
        <v>1.972</v>
      </c>
      <c r="E4" s="1">
        <v>1.9430000000000001</v>
      </c>
      <c r="F4" s="1">
        <v>1.923</v>
      </c>
      <c r="G4" s="1">
        <v>1.909</v>
      </c>
    </row>
    <row r="5" spans="1:7" x14ac:dyDescent="0.2">
      <c r="A5" s="1" t="s">
        <v>7</v>
      </c>
      <c r="B5" s="1">
        <v>1.5960000000000001</v>
      </c>
      <c r="C5" s="1">
        <v>1.597</v>
      </c>
      <c r="D5" s="1">
        <v>1.6</v>
      </c>
      <c r="E5" s="1">
        <v>1.6040000000000001</v>
      </c>
      <c r="F5" s="1">
        <v>1.6080000000000001</v>
      </c>
      <c r="G5" s="1">
        <v>1.6120000000000001</v>
      </c>
    </row>
    <row r="6" spans="1:7" x14ac:dyDescent="0.2">
      <c r="A6" s="1" t="s">
        <v>4</v>
      </c>
      <c r="B6" s="1">
        <v>2.5720000000000001</v>
      </c>
      <c r="C6" s="1">
        <v>2.516</v>
      </c>
      <c r="D6" s="1">
        <v>2.4580000000000002</v>
      </c>
      <c r="E6" s="1">
        <v>2.3919999999999999</v>
      </c>
      <c r="F6" s="1">
        <v>2.33</v>
      </c>
      <c r="G6" s="1">
        <v>2.2629999999999999</v>
      </c>
    </row>
    <row r="7" spans="1:7" x14ac:dyDescent="0.2">
      <c r="A7" s="1" t="s">
        <v>10</v>
      </c>
      <c r="B7" s="1">
        <v>1.77</v>
      </c>
      <c r="C7" s="1">
        <v>1.74</v>
      </c>
      <c r="D7" s="1">
        <v>1.72</v>
      </c>
      <c r="E7" s="1">
        <v>1.76</v>
      </c>
      <c r="F7" s="1">
        <v>1.78</v>
      </c>
      <c r="G7" s="1">
        <v>1.8</v>
      </c>
    </row>
    <row r="8" spans="1:7" x14ac:dyDescent="0.2">
      <c r="A8" s="1" t="s">
        <v>3</v>
      </c>
      <c r="B8" s="1">
        <v>1.38</v>
      </c>
      <c r="C8" s="1">
        <v>1.35</v>
      </c>
      <c r="D8" s="1">
        <v>1.34</v>
      </c>
      <c r="E8" s="1">
        <v>1.34</v>
      </c>
      <c r="F8" s="1">
        <v>1.36</v>
      </c>
      <c r="G8" s="1">
        <v>1.34</v>
      </c>
    </row>
    <row r="9" spans="1:7" x14ac:dyDescent="0.2">
      <c r="A9" s="1" t="s">
        <v>8</v>
      </c>
      <c r="B9" s="1">
        <v>1.26</v>
      </c>
      <c r="C9" s="1">
        <v>1.25</v>
      </c>
      <c r="D9" s="1">
        <v>1.27</v>
      </c>
      <c r="E9" s="1">
        <v>1.29</v>
      </c>
      <c r="F9" s="1">
        <v>1.34</v>
      </c>
      <c r="G9" s="1">
        <v>1.34</v>
      </c>
    </row>
    <row r="10" spans="1:7" x14ac:dyDescent="0.2">
      <c r="A10" s="1" t="s">
        <v>1</v>
      </c>
      <c r="B10" s="1">
        <v>1.39</v>
      </c>
      <c r="C10" s="1">
        <v>1.29</v>
      </c>
      <c r="D10" s="1">
        <v>1.23</v>
      </c>
      <c r="E10" s="1">
        <v>1.26</v>
      </c>
      <c r="F10" s="1">
        <v>1.27</v>
      </c>
      <c r="G10" s="1">
        <v>1.29</v>
      </c>
    </row>
    <row r="11" spans="1:7" x14ac:dyDescent="0.2">
      <c r="A11" s="1" t="s">
        <v>9</v>
      </c>
      <c r="B11" s="1">
        <v>1.48</v>
      </c>
      <c r="C11" s="1">
        <v>1.58</v>
      </c>
      <c r="D11" s="1">
        <v>1.57</v>
      </c>
      <c r="E11" s="1">
        <v>1.59</v>
      </c>
      <c r="F11" s="1">
        <v>1.57</v>
      </c>
      <c r="G11" s="1">
        <v>1.45</v>
      </c>
    </row>
    <row r="12" spans="1:7" x14ac:dyDescent="0.2">
      <c r="A12" s="1" t="s">
        <v>6</v>
      </c>
      <c r="B12" s="1">
        <v>2.056</v>
      </c>
      <c r="C12" s="1">
        <v>2.0305</v>
      </c>
      <c r="D12" s="1">
        <v>2.0205000000000002</v>
      </c>
      <c r="E12" s="1">
        <v>2.0474999999999999</v>
      </c>
      <c r="F12" s="1">
        <v>2.0514999999999999</v>
      </c>
      <c r="G12" s="1">
        <v>2.0569999999999999</v>
      </c>
    </row>
    <row r="1048576" spans="16384:16384" x14ac:dyDescent="0.2">
      <c r="XFD1048576" s="5" t="s">
        <v>17</v>
      </c>
    </row>
  </sheetData>
  <sortState xmlns:xlrd2="http://schemas.microsoft.com/office/spreadsheetml/2017/richdata2" ref="A2:G12">
    <sortCondition ref="A2:A1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33DE6-9DC9-4632-BFC2-107AE224A5B5}">
  <sheetPr codeName="Sheet1">
    <tabColor theme="4" tint="0.39997558519241921"/>
  </sheetPr>
  <dimension ref="B2:XFD1048576"/>
  <sheetViews>
    <sheetView workbookViewId="0">
      <selection activeCell="K25" sqref="K25"/>
    </sheetView>
  </sheetViews>
  <sheetFormatPr baseColWidth="10" defaultColWidth="8.83203125" defaultRowHeight="15" x14ac:dyDescent="0.2"/>
  <cols>
    <col min="2" max="2" width="11.6640625" customWidth="1"/>
    <col min="3" max="3" width="12.6640625" bestFit="1" customWidth="1"/>
    <col min="4" max="4" width="30.6640625" bestFit="1" customWidth="1"/>
  </cols>
  <sheetData>
    <row r="2" spans="2:4" x14ac:dyDescent="0.2">
      <c r="B2" t="str">
        <f>_xlfn.CONCAT(C8," &amp; ",D8," in ",C4)</f>
        <v>GDP Per Capita &amp; Fertility rate, total (births per woman) in United States</v>
      </c>
    </row>
    <row r="4" spans="2:4" x14ac:dyDescent="0.2">
      <c r="B4" t="s">
        <v>18</v>
      </c>
      <c r="C4" t="s">
        <v>6</v>
      </c>
    </row>
    <row r="8" spans="2:4" x14ac:dyDescent="0.2">
      <c r="B8" s="4" t="s">
        <v>11</v>
      </c>
      <c r="C8" s="4" t="s">
        <v>19</v>
      </c>
      <c r="D8" s="4" t="s">
        <v>20</v>
      </c>
    </row>
    <row r="9" spans="2:4" x14ac:dyDescent="0.2">
      <c r="B9" s="1">
        <v>2000</v>
      </c>
      <c r="C9" s="7">
        <f t="shared" ref="C9:C14" si="0">SUMIFS(Sums,Year1,B9,Country1,$C$4)</f>
        <v>44726.965397829001</v>
      </c>
      <c r="D9" s="6">
        <f t="shared" ref="D9:D14" ca="1" si="1">OFFSET(Start2,MATCH($C$4,Country2,0),MATCH(B9,Year2,0))</f>
        <v>2.056</v>
      </c>
    </row>
    <row r="10" spans="2:4" x14ac:dyDescent="0.2">
      <c r="B10" s="1">
        <v>2001</v>
      </c>
      <c r="C10" s="7">
        <f t="shared" si="0"/>
        <v>44728.597475226998</v>
      </c>
      <c r="D10" s="6">
        <f t="shared" ca="1" si="1"/>
        <v>2.0305</v>
      </c>
    </row>
    <row r="11" spans="2:4" x14ac:dyDescent="0.2">
      <c r="B11" s="1">
        <v>2002</v>
      </c>
      <c r="C11" s="7">
        <f t="shared" si="0"/>
        <v>45087.367278532001</v>
      </c>
      <c r="D11" s="6">
        <f t="shared" ca="1" si="1"/>
        <v>2.0205000000000002</v>
      </c>
    </row>
    <row r="12" spans="2:4" x14ac:dyDescent="0.2">
      <c r="B12" s="1">
        <v>2003</v>
      </c>
      <c r="C12" s="7">
        <f t="shared" si="0"/>
        <v>45980.514584919001</v>
      </c>
      <c r="D12" s="6">
        <f t="shared" ca="1" si="1"/>
        <v>2.0474999999999999</v>
      </c>
    </row>
    <row r="13" spans="2:4" x14ac:dyDescent="0.2">
      <c r="B13" s="1">
        <v>2004</v>
      </c>
      <c r="C13" s="7">
        <f t="shared" si="0"/>
        <v>47287.593772018001</v>
      </c>
      <c r="D13" s="6">
        <f t="shared" ca="1" si="1"/>
        <v>2.0514999999999999</v>
      </c>
    </row>
    <row r="14" spans="2:4" x14ac:dyDescent="0.2">
      <c r="B14" s="1">
        <v>2005</v>
      </c>
      <c r="C14" s="7">
        <f t="shared" si="0"/>
        <v>48499.812376291004</v>
      </c>
      <c r="D14" s="6">
        <f t="shared" ca="1" si="1"/>
        <v>2.0569999999999999</v>
      </c>
    </row>
    <row r="1048576" spans="16384:16384" x14ac:dyDescent="0.2">
      <c r="XFD1048576" s="5" t="s">
        <v>17</v>
      </c>
    </row>
  </sheetData>
  <dataValidations count="1">
    <dataValidation type="list" allowBlank="1" showInputMessage="1" showErrorMessage="1" promptTitle="Matt Farber" prompt="Please Select a Country" sqref="C4" xr:uid="{F5ECFC0F-1176-1D4C-8F18-371BF5A87EB4}">
      <formula1>Country2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93F9C-0D9D-43EF-BE42-CC88418AD3B2}">
  <sheetPr codeName="Sheet5">
    <tabColor theme="5" tint="0.39997558519241921"/>
  </sheetPr>
  <dimension ref="A1:XFD1048576"/>
  <sheetViews>
    <sheetView showGridLines="0" tabSelected="1" zoomScale="70" zoomScaleNormal="70" workbookViewId="0">
      <selection activeCell="T5" sqref="T5"/>
    </sheetView>
  </sheetViews>
  <sheetFormatPr baseColWidth="10" defaultColWidth="8.83203125" defaultRowHeight="15" x14ac:dyDescent="0.2"/>
  <cols>
    <col min="1" max="16384" width="8.83203125" style="8"/>
  </cols>
  <sheetData>
    <row r="1" spans="1:13" x14ac:dyDescent="0.2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</row>
    <row r="2" spans="1:13" ht="40" customHeight="1" x14ac:dyDescent="0.2">
      <c r="A2" s="9"/>
      <c r="B2" s="10"/>
      <c r="C2" s="11"/>
      <c r="D2" s="11"/>
      <c r="E2" s="11"/>
      <c r="F2" s="11"/>
      <c r="G2" s="11"/>
      <c r="H2" s="11"/>
      <c r="I2" s="11"/>
      <c r="J2" s="11"/>
      <c r="K2" s="11"/>
      <c r="L2" s="12"/>
      <c r="M2" s="9"/>
    </row>
    <row r="3" spans="1:13" ht="40" customHeight="1" x14ac:dyDescent="0.2">
      <c r="A3" s="9"/>
      <c r="B3" s="13"/>
      <c r="C3" s="9"/>
      <c r="D3" s="9"/>
      <c r="E3" s="9"/>
      <c r="F3" s="9"/>
      <c r="G3" s="9"/>
      <c r="H3" s="9"/>
      <c r="I3" s="9"/>
      <c r="J3" s="9"/>
      <c r="K3" s="9"/>
      <c r="L3" s="14"/>
      <c r="M3" s="9"/>
    </row>
    <row r="4" spans="1:13" ht="40" customHeight="1" x14ac:dyDescent="0.2">
      <c r="A4" s="9"/>
      <c r="B4" s="13"/>
      <c r="C4" s="9"/>
      <c r="D4" s="9"/>
      <c r="E4" s="9"/>
      <c r="F4" s="9"/>
      <c r="G4" s="9"/>
      <c r="H4" s="9"/>
      <c r="I4" s="9"/>
      <c r="J4" s="9"/>
      <c r="K4" s="9"/>
      <c r="L4" s="14"/>
      <c r="M4" s="9"/>
    </row>
    <row r="5" spans="1:13" ht="40" customHeight="1" x14ac:dyDescent="0.2">
      <c r="A5" s="9"/>
      <c r="B5" s="13"/>
      <c r="C5" s="9"/>
      <c r="D5" s="9"/>
      <c r="E5" s="9"/>
      <c r="F5" s="9"/>
      <c r="G5" s="9"/>
      <c r="H5" s="9"/>
      <c r="I5" s="9"/>
      <c r="J5" s="9"/>
      <c r="K5" s="9"/>
      <c r="L5" s="14"/>
      <c r="M5" s="9"/>
    </row>
    <row r="6" spans="1:13" ht="40" customHeight="1" x14ac:dyDescent="0.2">
      <c r="A6" s="9"/>
      <c r="B6" s="13"/>
      <c r="C6" s="9"/>
      <c r="D6" s="9"/>
      <c r="E6" s="9"/>
      <c r="F6" s="9"/>
      <c r="G6" s="9"/>
      <c r="H6" s="9"/>
      <c r="I6" s="9"/>
      <c r="J6" s="9"/>
      <c r="K6" s="9"/>
      <c r="L6" s="14"/>
      <c r="M6" s="9"/>
    </row>
    <row r="7" spans="1:13" ht="40" customHeight="1" x14ac:dyDescent="0.2">
      <c r="A7" s="9"/>
      <c r="B7" s="13"/>
      <c r="C7" s="9"/>
      <c r="D7" s="9"/>
      <c r="E7" s="9"/>
      <c r="F7" s="9"/>
      <c r="G7" s="9"/>
      <c r="H7" s="9"/>
      <c r="I7" s="9"/>
      <c r="J7" s="9"/>
      <c r="K7" s="9"/>
      <c r="L7" s="14"/>
      <c r="M7" s="9"/>
    </row>
    <row r="8" spans="1:13" ht="40" customHeight="1" x14ac:dyDescent="0.2">
      <c r="A8" s="9"/>
      <c r="B8" s="13"/>
      <c r="C8" s="9"/>
      <c r="D8" s="9"/>
      <c r="E8" s="9"/>
      <c r="F8" s="9"/>
      <c r="G8" s="9"/>
      <c r="H8" s="9"/>
      <c r="I8" s="9"/>
      <c r="J8" s="9"/>
      <c r="K8" s="9"/>
      <c r="L8" s="14"/>
      <c r="M8" s="9"/>
    </row>
    <row r="9" spans="1:13" ht="40" customHeight="1" x14ac:dyDescent="0.2">
      <c r="A9" s="9"/>
      <c r="B9" s="13"/>
      <c r="C9" s="9"/>
      <c r="D9" s="9"/>
      <c r="E9" s="9"/>
      <c r="F9" s="9"/>
      <c r="G9" s="9"/>
      <c r="H9" s="9"/>
      <c r="I9" s="9"/>
      <c r="J9" s="9"/>
      <c r="K9" s="9"/>
      <c r="L9" s="14"/>
      <c r="M9" s="9"/>
    </row>
    <row r="10" spans="1:13" ht="40" customHeight="1" x14ac:dyDescent="0.2">
      <c r="A10" s="9"/>
      <c r="B10" s="13"/>
      <c r="C10" s="9"/>
      <c r="D10" s="9"/>
      <c r="E10" s="9"/>
      <c r="F10" s="9"/>
      <c r="G10" s="9"/>
      <c r="H10" s="9"/>
      <c r="I10" s="9"/>
      <c r="J10" s="9"/>
      <c r="K10" s="9"/>
      <c r="L10" s="14"/>
      <c r="M10" s="9"/>
    </row>
    <row r="11" spans="1:13" ht="40" customHeight="1" x14ac:dyDescent="0.2">
      <c r="A11" s="9"/>
      <c r="B11" s="13"/>
      <c r="C11" s="9"/>
      <c r="D11" s="9"/>
      <c r="E11" s="9"/>
      <c r="F11" s="9"/>
      <c r="G11" s="9"/>
      <c r="H11" s="9"/>
      <c r="I11" s="9"/>
      <c r="J11" s="9"/>
      <c r="K11" s="9"/>
      <c r="L11" s="14"/>
      <c r="M11" s="9"/>
    </row>
    <row r="12" spans="1:13" ht="40" customHeight="1" x14ac:dyDescent="0.2">
      <c r="A12" s="9"/>
      <c r="B12" s="15"/>
      <c r="C12" s="16"/>
      <c r="D12" s="16"/>
      <c r="E12" s="16"/>
      <c r="F12" s="16"/>
      <c r="G12" s="16"/>
      <c r="H12" s="16"/>
      <c r="I12" s="16"/>
      <c r="J12" s="16"/>
      <c r="K12" s="16"/>
      <c r="L12" s="17"/>
      <c r="M12" s="9"/>
    </row>
    <row r="13" spans="1:13" x14ac:dyDescent="0.2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</row>
    <row r="1048576" spans="16384:16384" x14ac:dyDescent="0.2">
      <c r="XFD1048576" s="18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heet5.Createpattern">
                <anchor moveWithCells="1" sizeWithCells="1">
                  <from>
                    <xdr:col>14</xdr:col>
                    <xdr:colOff>393700</xdr:colOff>
                    <xdr:row>3</xdr:row>
                    <xdr:rowOff>88900</xdr:rowOff>
                  </from>
                  <to>
                    <xdr:col>16</xdr:col>
                    <xdr:colOff>571500</xdr:colOff>
                    <xdr:row>3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heet5.clear">
                <anchor moveWithCells="1" sizeWithCells="1">
                  <from>
                    <xdr:col>14</xdr:col>
                    <xdr:colOff>381000</xdr:colOff>
                    <xdr:row>4</xdr:row>
                    <xdr:rowOff>139700</xdr:rowOff>
                  </from>
                  <to>
                    <xdr:col>16</xdr:col>
                    <xdr:colOff>558800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5717C-CB43-49C3-B37F-271C62D4900E}">
  <sheetPr codeName="Sheet6">
    <tabColor theme="7" tint="0.39997558519241921"/>
  </sheetPr>
  <dimension ref="B1:XFD1048576"/>
  <sheetViews>
    <sheetView workbookViewId="0">
      <selection activeCell="J7" sqref="J7"/>
    </sheetView>
  </sheetViews>
  <sheetFormatPr baseColWidth="10" defaultColWidth="8.83203125" defaultRowHeight="15" x14ac:dyDescent="0.2"/>
  <cols>
    <col min="2" max="2" width="6.83203125" bestFit="1" customWidth="1"/>
    <col min="3" max="3" width="10.5" bestFit="1" customWidth="1"/>
  </cols>
  <sheetData>
    <row r="1" spans="2:3" ht="16" thickBot="1" x14ac:dyDescent="0.25"/>
    <row r="2" spans="2:3" ht="16" thickBot="1" x14ac:dyDescent="0.25">
      <c r="B2" s="2" t="s">
        <v>16</v>
      </c>
      <c r="C2" s="3" t="s">
        <v>15</v>
      </c>
    </row>
    <row r="3" spans="2:3" x14ac:dyDescent="0.2">
      <c r="C3" s="8"/>
    </row>
    <row r="4" spans="2:3" x14ac:dyDescent="0.2">
      <c r="C4" s="8"/>
    </row>
    <row r="5" spans="2:3" x14ac:dyDescent="0.2">
      <c r="C5" s="8"/>
    </row>
    <row r="6" spans="2:3" x14ac:dyDescent="0.2">
      <c r="C6" s="8"/>
    </row>
    <row r="7" spans="2:3" x14ac:dyDescent="0.2">
      <c r="C7" s="8"/>
    </row>
    <row r="1048576" spans="16384:16384" x14ac:dyDescent="0.2">
      <c r="XFD1048576" s="5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heet6.GenerateRatings">
                <anchor moveWithCells="1" sizeWithCells="1">
                  <from>
                    <xdr:col>5</xdr:col>
                    <xdr:colOff>215900</xdr:colOff>
                    <xdr:row>2</xdr:row>
                    <xdr:rowOff>101600</xdr:rowOff>
                  </from>
                  <to>
                    <xdr:col>7</xdr:col>
                    <xdr:colOff>393700</xdr:colOff>
                    <xdr:row>4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HonorCode</vt:lpstr>
      <vt:lpstr>WDI</vt:lpstr>
      <vt:lpstr>WDI2</vt:lpstr>
      <vt:lpstr>Problem1</vt:lpstr>
      <vt:lpstr>Problem 2</vt:lpstr>
      <vt:lpstr>Problem 3</vt:lpstr>
      <vt:lpstr>Country1</vt:lpstr>
      <vt:lpstr>Country2</vt:lpstr>
      <vt:lpstr>Start2</vt:lpstr>
      <vt:lpstr>Sums</vt:lpstr>
      <vt:lpstr>Year1</vt:lpstr>
      <vt:lpstr>Year2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Gelves, Alejandro</dc:creator>
  <cp:lastModifiedBy>Microsoft Office User</cp:lastModifiedBy>
  <dcterms:created xsi:type="dcterms:W3CDTF">2020-02-29T13:47:18Z</dcterms:created>
  <dcterms:modified xsi:type="dcterms:W3CDTF">2022-03-22T16:16:18Z</dcterms:modified>
</cp:coreProperties>
</file>